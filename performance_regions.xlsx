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Bureau\"/>
    </mc:Choice>
  </mc:AlternateContent>
  <xr:revisionPtr revIDLastSave="0" documentId="13_ncr:1_{E02B09BF-51C3-4776-A461-0146A8A93F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  <sheet name="Feuil3" sheetId="3" r:id="rId2"/>
  </sheets>
  <definedNames>
    <definedName name="_xlnm._FilterDatabase" localSheetId="0" hidden="1">Feuil1!$AF$1:$AF$15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O11" i="1"/>
  <c r="O10" i="1"/>
  <c r="O13" i="1"/>
  <c r="O5" i="1"/>
  <c r="O9" i="1"/>
  <c r="O7" i="1"/>
  <c r="O12" i="1"/>
  <c r="O14" i="1"/>
  <c r="R14" i="1" s="1"/>
  <c r="O15" i="1"/>
  <c r="O2" i="1"/>
  <c r="O3" i="1"/>
  <c r="N8" i="1"/>
  <c r="N11" i="1"/>
  <c r="N10" i="1"/>
  <c r="N13" i="1"/>
  <c r="N5" i="1"/>
  <c r="N9" i="1"/>
  <c r="N7" i="1"/>
  <c r="N12" i="1"/>
  <c r="N14" i="1"/>
  <c r="N15" i="1"/>
  <c r="N2" i="1"/>
  <c r="N3" i="1"/>
  <c r="K4" i="1"/>
  <c r="N4" i="1" s="1"/>
  <c r="K6" i="1"/>
  <c r="N6" i="1" s="1"/>
  <c r="H4" i="1"/>
  <c r="H6" i="1"/>
  <c r="O6" i="1" s="1"/>
  <c r="O4" i="1" l="1"/>
  <c r="S3" i="1"/>
  <c r="S14" i="1"/>
  <c r="R3" i="1" l="1"/>
  <c r="R15" i="1"/>
  <c r="R9" i="1"/>
  <c r="R7" i="1"/>
  <c r="R12" i="1"/>
  <c r="R5" i="1"/>
  <c r="R8" i="1"/>
  <c r="R11" i="1"/>
  <c r="R6" i="1"/>
  <c r="R2" i="1"/>
  <c r="R13" i="1"/>
  <c r="R4" i="1"/>
  <c r="R10" i="1"/>
  <c r="S10" i="1"/>
  <c r="S11" i="1"/>
  <c r="S2" i="1"/>
  <c r="S4" i="1"/>
  <c r="S7" i="1"/>
  <c r="S15" i="1"/>
  <c r="S6" i="1"/>
  <c r="S12" i="1"/>
  <c r="S8" i="1"/>
  <c r="S13" i="1"/>
  <c r="S5" i="1"/>
  <c r="S9" i="1"/>
</calcChain>
</file>

<file path=xl/sharedStrings.xml><?xml version="1.0" encoding="utf-8"?>
<sst xmlns="http://schemas.openxmlformats.org/spreadsheetml/2006/main" count="146" uniqueCount="64">
  <si>
    <t>Régions</t>
  </si>
  <si>
    <t>Saint Louis</t>
  </si>
  <si>
    <t>Tambacounda</t>
  </si>
  <si>
    <t>Kaolack</t>
  </si>
  <si>
    <t>Thies</t>
  </si>
  <si>
    <t>Ziguinchor</t>
  </si>
  <si>
    <t>Dakar</t>
  </si>
  <si>
    <t>taux2018</t>
  </si>
  <si>
    <t>taux2019</t>
  </si>
  <si>
    <t>taux2020</t>
  </si>
  <si>
    <t>performance2018</t>
  </si>
  <si>
    <t>performance2019</t>
  </si>
  <si>
    <t>performance2020</t>
  </si>
  <si>
    <t>indéterminé</t>
  </si>
  <si>
    <t>Assez Bien</t>
  </si>
  <si>
    <t>Passable</t>
  </si>
  <si>
    <t>Bien</t>
  </si>
  <si>
    <t>Diourbel</t>
  </si>
  <si>
    <t>Fatick</t>
  </si>
  <si>
    <t>Kaffrine</t>
  </si>
  <si>
    <t>Kedougou</t>
  </si>
  <si>
    <t>Kolda</t>
  </si>
  <si>
    <t>Louga</t>
  </si>
  <si>
    <t>Matam</t>
  </si>
  <si>
    <t>Sedhiou</t>
  </si>
  <si>
    <t>realmoy</t>
  </si>
  <si>
    <t>prevmoy</t>
  </si>
  <si>
    <t>tauxmoy</t>
  </si>
  <si>
    <t>prev2018</t>
  </si>
  <si>
    <t>prev2019</t>
  </si>
  <si>
    <t>prev2020</t>
  </si>
  <si>
    <t>real2018</t>
  </si>
  <si>
    <t>real2019</t>
  </si>
  <si>
    <t>real2020</t>
  </si>
  <si>
    <t>performoy</t>
  </si>
  <si>
    <t>Assez bien</t>
  </si>
  <si>
    <t>partprev</t>
  </si>
  <si>
    <t>partreal</t>
  </si>
  <si>
    <t>lilien1</t>
  </si>
  <si>
    <t>lilien2</t>
  </si>
  <si>
    <t>coef0511</t>
  </si>
  <si>
    <t>coef1118</t>
  </si>
  <si>
    <t>P0</t>
  </si>
  <si>
    <t>PIB_local</t>
  </si>
  <si>
    <t>PIB_faible</t>
  </si>
  <si>
    <t>PIB_fort</t>
  </si>
  <si>
    <t>PIB_moyen</t>
  </si>
  <si>
    <t>catg0511</t>
  </si>
  <si>
    <t>catg1118</t>
  </si>
  <si>
    <t>emp2021</t>
  </si>
  <si>
    <t>totsup</t>
  </si>
  <si>
    <t>totprod</t>
  </si>
  <si>
    <t>rdt</t>
  </si>
  <si>
    <t>pole</t>
  </si>
  <si>
    <t>DAKAR</t>
  </si>
  <si>
    <t>THIES</t>
  </si>
  <si>
    <t>CENTRE</t>
  </si>
  <si>
    <t>DIOURBEL-LOUGA</t>
  </si>
  <si>
    <t>SUD-EST</t>
  </si>
  <si>
    <t>SUD</t>
  </si>
  <si>
    <t>NORD-EST</t>
  </si>
  <si>
    <t>NORD</t>
  </si>
  <si>
    <t>sdg_pole</t>
  </si>
  <si>
    <t>sdg_region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</si>
</sst>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86" formatCode="0.0000000000000000000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10" fontId="0" fillId="0" borderId="0" xfId="1" applyNumberFormat="1" applyFont="1"/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6" xfId="0" applyBorder="1"/>
    <xf numFmtId="0" fontId="4" fillId="0" borderId="6" xfId="0" applyFont="1" applyBorder="1" applyAlignment="1">
      <alignment horizontal="center"/>
    </xf>
    <xf numFmtId="9" fontId="0" fillId="0" borderId="0" xfId="0" applyNumberFormat="1"/>
    <xf numFmtId="9" fontId="0" fillId="0" borderId="0" xfId="1" applyFont="1"/>
    <xf numFmtId="0" fontId="0" fillId="0" borderId="0" xfId="0" applyAlignment="1">
      <alignment horizontal="center"/>
    </xf>
    <xf numFmtId="164" fontId="0" fillId="0" borderId="0" xfId="0" applyNumberFormat="1"/>
    <xf numFmtId="186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7"/>
  <sheetViews>
    <sheetView tabSelected="1" workbookViewId="0">
      <pane xSplit="1" ySplit="1" topLeftCell="AF2" activePane="bottomRight" state="frozen"/>
      <selection pane="topRight" activeCell="B1" sqref="B1"/>
      <selection pane="bottomLeft" activeCell="A2" sqref="A2"/>
      <selection pane="bottomRight" activeCell="AL10" sqref="AL10"/>
    </sheetView>
  </sheetViews>
  <sheetFormatPr baseColWidth="10" defaultColWidth="10.85546875" defaultRowHeight="15" x14ac:dyDescent="0.25"/>
  <cols>
    <col min="1" max="1" width="13.28515625" bestFit="1" customWidth="1"/>
    <col min="2" max="2" width="12" bestFit="1" customWidth="1"/>
    <col min="4" max="4" width="12" bestFit="1" customWidth="1"/>
    <col min="5" max="7" width="16.5703125" bestFit="1" customWidth="1"/>
    <col min="8" max="8" width="12" bestFit="1" customWidth="1"/>
    <col min="10" max="12" width="12" bestFit="1" customWidth="1"/>
    <col min="13" max="14" width="11.85546875" bestFit="1" customWidth="1"/>
    <col min="15" max="15" width="12" bestFit="1" customWidth="1"/>
    <col min="16" max="16" width="8.7109375" bestFit="1" customWidth="1"/>
    <col min="18" max="18" width="10.85546875" style="10"/>
    <col min="32" max="32" width="15.85546875" bestFit="1" customWidth="1"/>
    <col min="33" max="33" width="28" bestFit="1" customWidth="1"/>
    <col min="34" max="34" width="11.28515625" bestFit="1" customWidth="1"/>
  </cols>
  <sheetData>
    <row r="1" spans="1:37" ht="15.75" thickBot="1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25</v>
      </c>
      <c r="O1" t="s">
        <v>26</v>
      </c>
      <c r="P1" t="s">
        <v>27</v>
      </c>
      <c r="Q1" t="s">
        <v>34</v>
      </c>
      <c r="R1" s="10" t="s">
        <v>36</v>
      </c>
      <c r="S1" t="s">
        <v>37</v>
      </c>
      <c r="T1" s="3" t="s">
        <v>38</v>
      </c>
      <c r="U1" s="3" t="s">
        <v>39</v>
      </c>
      <c r="V1" s="7" t="s">
        <v>40</v>
      </c>
      <c r="W1" s="5" t="s">
        <v>41</v>
      </c>
      <c r="X1" s="9" t="s">
        <v>42</v>
      </c>
      <c r="Y1" t="s">
        <v>43</v>
      </c>
      <c r="Z1" t="s">
        <v>47</v>
      </c>
      <c r="AA1" t="s">
        <v>48</v>
      </c>
      <c r="AB1" t="s">
        <v>49</v>
      </c>
      <c r="AC1" s="12" t="s">
        <v>50</v>
      </c>
      <c r="AD1" s="12" t="s">
        <v>51</v>
      </c>
      <c r="AE1" s="12" t="s">
        <v>52</v>
      </c>
      <c r="AF1" s="12" t="s">
        <v>53</v>
      </c>
      <c r="AG1" s="12" t="s">
        <v>62</v>
      </c>
      <c r="AH1" s="12" t="s">
        <v>63</v>
      </c>
    </row>
    <row r="2" spans="1:37" ht="15.75" thickBot="1" x14ac:dyDescent="0.3">
      <c r="A2" t="s">
        <v>6</v>
      </c>
      <c r="B2" s="1">
        <v>0.21950548086048496</v>
      </c>
      <c r="C2" s="1">
        <v>0.38312072025506627</v>
      </c>
      <c r="D2" s="1">
        <v>0.41335794328310438</v>
      </c>
      <c r="E2" t="s">
        <v>15</v>
      </c>
      <c r="F2" t="s">
        <v>14</v>
      </c>
      <c r="G2" t="s">
        <v>14</v>
      </c>
      <c r="H2">
        <v>80999702344</v>
      </c>
      <c r="I2">
        <v>87287058630</v>
      </c>
      <c r="J2">
        <v>119435416992</v>
      </c>
      <c r="K2">
        <v>9514672423</v>
      </c>
      <c r="L2">
        <v>12058409182</v>
      </c>
      <c r="M2">
        <v>17976664163</v>
      </c>
      <c r="N2">
        <f t="shared" ref="N2:N15" si="0">AVERAGE(K2:M2)</f>
        <v>13183248589.333334</v>
      </c>
      <c r="O2">
        <f t="shared" ref="O2:O15" si="1">AVERAGE(H2:J2)</f>
        <v>95907392655.333328</v>
      </c>
      <c r="P2" s="2">
        <v>0.1374581064539056</v>
      </c>
      <c r="Q2" t="s">
        <v>15</v>
      </c>
      <c r="R2" s="11">
        <f t="shared" ref="R2:R15" si="2">O2/$O$15</f>
        <v>34.203905088986012</v>
      </c>
      <c r="S2" s="2">
        <f t="shared" ref="S2:S15" si="3">N2/$N$15</f>
        <v>10.277003886534501</v>
      </c>
      <c r="T2" s="4">
        <v>4.17</v>
      </c>
      <c r="U2" s="4">
        <v>1.79</v>
      </c>
      <c r="V2" s="6">
        <v>3.7100000000000001E-2</v>
      </c>
      <c r="W2" s="6">
        <v>3.4500000000000003E-2</v>
      </c>
      <c r="X2" s="8">
        <v>0.09</v>
      </c>
      <c r="Y2" t="s">
        <v>45</v>
      </c>
      <c r="Z2">
        <v>6</v>
      </c>
      <c r="AA2">
        <v>4</v>
      </c>
      <c r="AB2" s="2">
        <v>0.28219708026656792</v>
      </c>
      <c r="AC2">
        <v>2148.9248941977967</v>
      </c>
      <c r="AD2">
        <v>7649.1595308507303</v>
      </c>
      <c r="AE2">
        <v>3.5595285584451299</v>
      </c>
      <c r="AF2" t="s">
        <v>54</v>
      </c>
      <c r="AG2" s="13">
        <v>0.60935625802872995</v>
      </c>
      <c r="AH2" s="13">
        <v>0.60935625802873017</v>
      </c>
    </row>
    <row r="3" spans="1:37" ht="15.75" thickBot="1" x14ac:dyDescent="0.3">
      <c r="A3" t="s">
        <v>17</v>
      </c>
      <c r="B3" s="1">
        <v>0.27072593030503489</v>
      </c>
      <c r="C3" s="1">
        <v>0.24749309570290354</v>
      </c>
      <c r="D3" s="1">
        <v>0.37598414582664352</v>
      </c>
      <c r="E3" t="s">
        <v>14</v>
      </c>
      <c r="F3" t="s">
        <v>15</v>
      </c>
      <c r="G3" t="s">
        <v>14</v>
      </c>
      <c r="H3">
        <v>5457873342</v>
      </c>
      <c r="I3">
        <v>7056652809</v>
      </c>
      <c r="J3">
        <v>6015942292</v>
      </c>
      <c r="K3">
        <v>1477587838</v>
      </c>
      <c r="L3">
        <v>1746472849</v>
      </c>
      <c r="M3">
        <v>2261898924</v>
      </c>
      <c r="N3">
        <f t="shared" si="0"/>
        <v>1828653203.6666667</v>
      </c>
      <c r="O3">
        <f t="shared" si="1"/>
        <v>6176822814.333333</v>
      </c>
      <c r="P3" s="2">
        <v>0.29605077863384266</v>
      </c>
      <c r="Q3" t="s">
        <v>35</v>
      </c>
      <c r="R3" s="11">
        <f t="shared" si="2"/>
        <v>2.2028694081195224</v>
      </c>
      <c r="S3" s="2">
        <f t="shared" si="3"/>
        <v>1.4255269445811498</v>
      </c>
      <c r="T3" s="4">
        <v>4.66</v>
      </c>
      <c r="U3" s="4">
        <v>6.49</v>
      </c>
      <c r="V3" s="6">
        <v>9.5500000000000002E-2</v>
      </c>
      <c r="W3" s="6">
        <v>0.13489999999999999</v>
      </c>
      <c r="X3" s="8">
        <v>0.439</v>
      </c>
      <c r="Y3" t="s">
        <v>45</v>
      </c>
      <c r="Z3">
        <v>6</v>
      </c>
      <c r="AA3">
        <v>5</v>
      </c>
      <c r="AB3" s="2">
        <v>0.10114515197565967</v>
      </c>
      <c r="AC3">
        <v>269342.77388037165</v>
      </c>
      <c r="AD3">
        <v>461855.49989428133</v>
      </c>
      <c r="AE3">
        <v>1.7147499197413554</v>
      </c>
      <c r="AF3" t="s">
        <v>57</v>
      </c>
      <c r="AG3" s="13">
        <v>0.53218266817837601</v>
      </c>
      <c r="AH3" s="13">
        <v>0.53261913362684654</v>
      </c>
    </row>
    <row r="4" spans="1:37" ht="15.75" thickBot="1" x14ac:dyDescent="0.3">
      <c r="A4" t="s">
        <v>18</v>
      </c>
      <c r="B4" s="1"/>
      <c r="C4" s="1">
        <v>0.51042225861908797</v>
      </c>
      <c r="D4" s="1">
        <v>0.44690950059200918</v>
      </c>
      <c r="E4" s="1" t="s">
        <v>13</v>
      </c>
      <c r="F4" t="s">
        <v>16</v>
      </c>
      <c r="G4" t="s">
        <v>14</v>
      </c>
      <c r="H4">
        <f>AVERAGE(I4:J4)</f>
        <v>4637958056</v>
      </c>
      <c r="I4">
        <v>4486084083</v>
      </c>
      <c r="J4">
        <v>4789832029</v>
      </c>
      <c r="K4">
        <f>AVERAGE(L4:M4)</f>
        <v>2215209305</v>
      </c>
      <c r="L4">
        <v>2289797170</v>
      </c>
      <c r="M4">
        <v>2140621440</v>
      </c>
      <c r="N4">
        <f t="shared" si="0"/>
        <v>2215209305</v>
      </c>
      <c r="O4">
        <f t="shared" si="1"/>
        <v>4637958056</v>
      </c>
      <c r="P4" s="2">
        <v>0.47762598933689021</v>
      </c>
      <c r="Q4" t="s">
        <v>35</v>
      </c>
      <c r="R4" s="11">
        <f t="shared" si="2"/>
        <v>1.6540568225456855</v>
      </c>
      <c r="S4" s="2">
        <f t="shared" si="3"/>
        <v>1.7268668251763306</v>
      </c>
      <c r="T4" s="4">
        <v>3.41</v>
      </c>
      <c r="U4" s="4">
        <v>4.78</v>
      </c>
      <c r="V4" s="6">
        <v>5.3800000000000001E-2</v>
      </c>
      <c r="W4" s="6">
        <v>9.7000000000000003E-2</v>
      </c>
      <c r="X4" s="8">
        <v>0.49199999999999999</v>
      </c>
      <c r="Y4" t="s">
        <v>45</v>
      </c>
      <c r="Z4">
        <v>1</v>
      </c>
      <c r="AA4">
        <v>1</v>
      </c>
      <c r="AB4" s="2">
        <v>5.204515521952767E-2</v>
      </c>
      <c r="AC4">
        <v>485675.20266724727</v>
      </c>
      <c r="AD4">
        <v>715180.76028036908</v>
      </c>
      <c r="AE4">
        <v>1.4725494658831983</v>
      </c>
      <c r="AF4" t="s">
        <v>56</v>
      </c>
      <c r="AG4" s="13">
        <v>0.53129461181125703</v>
      </c>
      <c r="AH4" s="13">
        <v>0.5988258551891944</v>
      </c>
    </row>
    <row r="5" spans="1:37" ht="15.75" thickBot="1" x14ac:dyDescent="0.3">
      <c r="A5" t="s">
        <v>19</v>
      </c>
      <c r="B5" s="1">
        <v>0.51978222088576376</v>
      </c>
      <c r="C5" s="1">
        <v>0.51007241130009862</v>
      </c>
      <c r="D5" s="1">
        <v>0.56953895297494062</v>
      </c>
      <c r="E5" t="s">
        <v>16</v>
      </c>
      <c r="F5" t="s">
        <v>16</v>
      </c>
      <c r="G5" t="s">
        <v>16</v>
      </c>
      <c r="H5">
        <v>3936726086</v>
      </c>
      <c r="I5">
        <v>3200762860</v>
      </c>
      <c r="J5">
        <v>3429095806</v>
      </c>
      <c r="K5">
        <v>2046240228</v>
      </c>
      <c r="L5">
        <v>1632620830</v>
      </c>
      <c r="M5">
        <v>1953003635</v>
      </c>
      <c r="N5">
        <f t="shared" si="0"/>
        <v>1877288231</v>
      </c>
      <c r="O5">
        <f t="shared" si="1"/>
        <v>3522194917.3333335</v>
      </c>
      <c r="P5" s="2">
        <v>0.53298817216546934</v>
      </c>
      <c r="Q5" t="s">
        <v>16</v>
      </c>
      <c r="R5" s="11">
        <f t="shared" si="2"/>
        <v>1.2561369600602823</v>
      </c>
      <c r="S5" s="2">
        <f t="shared" si="3"/>
        <v>1.4634403891725527</v>
      </c>
      <c r="T5" s="4">
        <v>1.7</v>
      </c>
      <c r="U5" s="4">
        <v>1.54</v>
      </c>
      <c r="V5" s="6">
        <v>2.75E-2</v>
      </c>
      <c r="W5" s="6">
        <v>3.0300000000000001E-2</v>
      </c>
      <c r="X5" s="8">
        <v>0.53</v>
      </c>
      <c r="Y5" t="s">
        <v>45</v>
      </c>
      <c r="Z5">
        <v>5</v>
      </c>
      <c r="AA5">
        <v>2</v>
      </c>
      <c r="AB5" s="2">
        <v>3.729412501035876E-2</v>
      </c>
      <c r="AC5">
        <v>543876.57468439755</v>
      </c>
      <c r="AD5">
        <v>1202832.061606741</v>
      </c>
      <c r="AE5">
        <v>2.2115901246615084</v>
      </c>
      <c r="AF5" t="s">
        <v>56</v>
      </c>
      <c r="AG5" s="14">
        <v>0.53129461181125703</v>
      </c>
      <c r="AH5" s="13">
        <v>0.47264911725327441</v>
      </c>
    </row>
    <row r="6" spans="1:37" ht="15.75" thickBot="1" x14ac:dyDescent="0.3">
      <c r="A6" t="s">
        <v>3</v>
      </c>
      <c r="B6" s="1"/>
      <c r="C6" s="1">
        <v>0.27923452355624845</v>
      </c>
      <c r="D6" s="1">
        <v>0.42926155702389163</v>
      </c>
      <c r="E6" s="1" t="s">
        <v>13</v>
      </c>
      <c r="F6" t="s">
        <v>14</v>
      </c>
      <c r="G6" t="s">
        <v>14</v>
      </c>
      <c r="H6">
        <f>AVERAGE(I6:J6)</f>
        <v>5064748715.5</v>
      </c>
      <c r="I6">
        <v>5303526076</v>
      </c>
      <c r="J6">
        <v>4825971355</v>
      </c>
      <c r="K6">
        <f>AVERAGE(L6:M6)</f>
        <v>1776265777.5</v>
      </c>
      <c r="L6">
        <v>1480927577</v>
      </c>
      <c r="M6">
        <v>2071603978</v>
      </c>
      <c r="N6">
        <f t="shared" si="0"/>
        <v>1776265777.5</v>
      </c>
      <c r="O6">
        <f t="shared" si="1"/>
        <v>5064748715.5</v>
      </c>
      <c r="P6" s="2">
        <v>0.35071153126787341</v>
      </c>
      <c r="Q6" t="s">
        <v>35</v>
      </c>
      <c r="R6" s="11">
        <f t="shared" si="2"/>
        <v>1.8062651852822775</v>
      </c>
      <c r="S6" s="2">
        <f t="shared" si="3"/>
        <v>1.3846883167822335</v>
      </c>
      <c r="T6" s="4">
        <v>1.7</v>
      </c>
      <c r="U6" s="4">
        <v>1.54</v>
      </c>
      <c r="V6" s="6">
        <v>2.75E-2</v>
      </c>
      <c r="W6" s="6">
        <v>3.0300000000000001E-2</v>
      </c>
      <c r="X6" s="8">
        <v>0.41499999999999998</v>
      </c>
      <c r="Y6" t="s">
        <v>45</v>
      </c>
      <c r="Z6">
        <v>5</v>
      </c>
      <c r="AA6">
        <v>2</v>
      </c>
      <c r="AB6" s="2">
        <v>5.9206272506784452E-2</v>
      </c>
      <c r="AC6">
        <v>426021.01542273257</v>
      </c>
      <c r="AD6">
        <v>1269721.0559266366</v>
      </c>
      <c r="AE6">
        <v>2.9804188290258788</v>
      </c>
      <c r="AF6" t="s">
        <v>56</v>
      </c>
      <c r="AG6" s="13">
        <v>0.53129461181125703</v>
      </c>
      <c r="AH6" s="13">
        <v>0.52240886299130185</v>
      </c>
    </row>
    <row r="7" spans="1:37" ht="15.75" thickBot="1" x14ac:dyDescent="0.3">
      <c r="A7" t="s">
        <v>20</v>
      </c>
      <c r="B7" s="1">
        <v>0.3118328719896073</v>
      </c>
      <c r="C7" s="1">
        <v>0.25289614727049164</v>
      </c>
      <c r="D7" s="1">
        <v>0.3112795207969018</v>
      </c>
      <c r="E7" t="s">
        <v>14</v>
      </c>
      <c r="F7" t="s">
        <v>14</v>
      </c>
      <c r="G7" t="s">
        <v>14</v>
      </c>
      <c r="H7">
        <v>6185628355</v>
      </c>
      <c r="I7">
        <v>5025598542</v>
      </c>
      <c r="J7">
        <v>4022879333</v>
      </c>
      <c r="K7">
        <v>1928882255</v>
      </c>
      <c r="L7">
        <v>1270954509</v>
      </c>
      <c r="M7">
        <v>1252239951</v>
      </c>
      <c r="N7">
        <f t="shared" si="0"/>
        <v>1484025571.6666667</v>
      </c>
      <c r="O7">
        <f t="shared" si="1"/>
        <v>5078035410</v>
      </c>
      <c r="P7" s="2">
        <v>0.29224403767335422</v>
      </c>
      <c r="Q7" t="s">
        <v>35</v>
      </c>
      <c r="R7" s="11">
        <f t="shared" si="2"/>
        <v>1.8110036817114064</v>
      </c>
      <c r="S7" s="2">
        <f t="shared" si="3"/>
        <v>1.1568724100427639</v>
      </c>
      <c r="T7" s="4">
        <v>4.9400000000000004</v>
      </c>
      <c r="U7" s="4">
        <v>6.31</v>
      </c>
      <c r="V7" s="6">
        <v>8.2199999999999995E-2</v>
      </c>
      <c r="W7" s="6">
        <v>0.114</v>
      </c>
      <c r="X7" s="8">
        <v>0.61899999999999999</v>
      </c>
      <c r="Y7" t="s">
        <v>44</v>
      </c>
      <c r="Z7">
        <v>5</v>
      </c>
      <c r="AA7">
        <v>6</v>
      </c>
      <c r="AB7" s="2">
        <v>1.0095861791562445E-2</v>
      </c>
      <c r="AC7">
        <v>44043.296724548069</v>
      </c>
      <c r="AD7">
        <v>102189.51502950928</v>
      </c>
      <c r="AE7">
        <v>2.320205857173101</v>
      </c>
      <c r="AF7" t="s">
        <v>58</v>
      </c>
      <c r="AG7" s="13">
        <v>0.43084371587772302</v>
      </c>
      <c r="AH7" s="13">
        <v>0.43440728650383975</v>
      </c>
    </row>
    <row r="8" spans="1:37" ht="15.75" thickBot="1" x14ac:dyDescent="0.3">
      <c r="A8" t="s">
        <v>21</v>
      </c>
      <c r="B8" s="1">
        <v>0.20904973701096519</v>
      </c>
      <c r="C8" s="1">
        <v>0.2070615567783248</v>
      </c>
      <c r="D8" s="1">
        <v>0.23183344150567858</v>
      </c>
      <c r="E8" t="s">
        <v>15</v>
      </c>
      <c r="F8" t="s">
        <v>15</v>
      </c>
      <c r="G8" t="s">
        <v>15</v>
      </c>
      <c r="H8">
        <v>4972799535</v>
      </c>
      <c r="I8">
        <v>5345244000</v>
      </c>
      <c r="J8">
        <v>6134499211</v>
      </c>
      <c r="K8">
        <v>1039562435</v>
      </c>
      <c r="L8">
        <v>1106794544</v>
      </c>
      <c r="M8">
        <v>1422182064</v>
      </c>
      <c r="N8">
        <f t="shared" si="0"/>
        <v>1189513014.3333333</v>
      </c>
      <c r="O8">
        <f t="shared" si="1"/>
        <v>5484180915.333333</v>
      </c>
      <c r="P8" s="2">
        <v>0.21689893763488904</v>
      </c>
      <c r="Q8" t="s">
        <v>15</v>
      </c>
      <c r="R8" s="11">
        <f t="shared" si="2"/>
        <v>1.9558492658955478</v>
      </c>
      <c r="S8" s="2">
        <f t="shared" si="3"/>
        <v>0.9272850912693914</v>
      </c>
      <c r="T8" s="4">
        <v>3.04</v>
      </c>
      <c r="U8" s="4">
        <v>5.66</v>
      </c>
      <c r="V8" s="6">
        <v>4.2900000000000001E-2</v>
      </c>
      <c r="W8" s="6">
        <v>0.1113</v>
      </c>
      <c r="X8" s="8">
        <v>0.56599999999999995</v>
      </c>
      <c r="Y8" t="s">
        <v>46</v>
      </c>
      <c r="Z8">
        <v>5</v>
      </c>
      <c r="AA8">
        <v>2</v>
      </c>
      <c r="AB8" s="2">
        <v>4.9682657730233788E-2</v>
      </c>
      <c r="AC8">
        <v>401445.0434941639</v>
      </c>
      <c r="AD8">
        <v>1046898.9255175844</v>
      </c>
      <c r="AE8">
        <v>2.6078262578743332</v>
      </c>
      <c r="AF8" t="s">
        <v>59</v>
      </c>
      <c r="AG8" s="13">
        <v>0.54706980050919196</v>
      </c>
      <c r="AH8" s="13">
        <v>0.43976212045097374</v>
      </c>
    </row>
    <row r="9" spans="1:37" ht="15.75" thickBot="1" x14ac:dyDescent="0.3">
      <c r="A9" t="s">
        <v>22</v>
      </c>
      <c r="B9" s="1">
        <v>0.26924819295283386</v>
      </c>
      <c r="C9" s="1">
        <v>0.39980764618158321</v>
      </c>
      <c r="D9" s="1">
        <v>0.38188095622029383</v>
      </c>
      <c r="E9" t="s">
        <v>14</v>
      </c>
      <c r="F9" t="s">
        <v>14</v>
      </c>
      <c r="G9" t="s">
        <v>14</v>
      </c>
      <c r="H9">
        <v>6421256715</v>
      </c>
      <c r="I9">
        <v>5817504478</v>
      </c>
      <c r="J9">
        <v>6472724622</v>
      </c>
      <c r="K9">
        <v>1728911767</v>
      </c>
      <c r="L9">
        <v>2325882772</v>
      </c>
      <c r="M9">
        <v>2471810268</v>
      </c>
      <c r="N9">
        <f t="shared" si="0"/>
        <v>2175534935.6666665</v>
      </c>
      <c r="O9">
        <f t="shared" si="1"/>
        <v>6237161938.333333</v>
      </c>
      <c r="P9" s="2">
        <v>0.34880206048458051</v>
      </c>
      <c r="Q9" t="s">
        <v>35</v>
      </c>
      <c r="R9" s="11">
        <f t="shared" si="2"/>
        <v>2.2243884340601552</v>
      </c>
      <c r="S9" s="2">
        <f t="shared" si="3"/>
        <v>1.6959386631932232</v>
      </c>
      <c r="T9" s="4">
        <v>5.71</v>
      </c>
      <c r="U9" s="4">
        <v>8.65</v>
      </c>
      <c r="V9" s="6">
        <v>0.13819999999999999</v>
      </c>
      <c r="W9" s="6">
        <v>0.17829999999999999</v>
      </c>
      <c r="X9" s="8">
        <v>0.434</v>
      </c>
      <c r="Y9" t="s">
        <v>46</v>
      </c>
      <c r="Z9">
        <v>1</v>
      </c>
      <c r="AA9">
        <v>3</v>
      </c>
      <c r="AB9" s="2">
        <v>5.5929181024739864E-2</v>
      </c>
      <c r="AC9">
        <v>425555.18182295631</v>
      </c>
      <c r="AD9">
        <v>735299.06492206617</v>
      </c>
      <c r="AE9">
        <v>1.7278583279664366</v>
      </c>
      <c r="AF9" t="s">
        <v>57</v>
      </c>
      <c r="AG9" s="13">
        <v>0.53218266817837601</v>
      </c>
      <c r="AH9" s="13">
        <v>0.5297462027299058</v>
      </c>
    </row>
    <row r="10" spans="1:37" ht="15.75" thickBot="1" x14ac:dyDescent="0.3">
      <c r="A10" t="s">
        <v>23</v>
      </c>
      <c r="B10" s="1">
        <v>0.24641210137300945</v>
      </c>
      <c r="C10" s="1">
        <v>0.30737166567132168</v>
      </c>
      <c r="D10" s="1">
        <v>0.29952584503463031</v>
      </c>
      <c r="E10" t="s">
        <v>15</v>
      </c>
      <c r="F10" t="s">
        <v>14</v>
      </c>
      <c r="G10" t="s">
        <v>14</v>
      </c>
      <c r="H10">
        <v>4908351470</v>
      </c>
      <c r="I10">
        <v>5084473221</v>
      </c>
      <c r="J10">
        <v>7370805233</v>
      </c>
      <c r="K10">
        <v>1209477200</v>
      </c>
      <c r="L10">
        <v>1562823003</v>
      </c>
      <c r="M10">
        <v>2207746666</v>
      </c>
      <c r="N10">
        <f t="shared" si="0"/>
        <v>1660015623</v>
      </c>
      <c r="O10">
        <f t="shared" si="1"/>
        <v>5787876641.333333</v>
      </c>
      <c r="P10" s="2">
        <v>0.28680908835292451</v>
      </c>
      <c r="Q10" t="s">
        <v>35</v>
      </c>
      <c r="R10" s="11">
        <f t="shared" si="2"/>
        <v>2.0641577028203737</v>
      </c>
      <c r="S10" s="2">
        <f t="shared" si="3"/>
        <v>1.2940654872488984</v>
      </c>
      <c r="T10" s="4">
        <v>2.99</v>
      </c>
      <c r="U10" s="4">
        <v>4.5599999999999996</v>
      </c>
      <c r="V10" s="6">
        <v>4.1000000000000002E-2</v>
      </c>
      <c r="W10" s="6">
        <v>0.1033</v>
      </c>
      <c r="X10" s="8">
        <v>0.47699999999999998</v>
      </c>
      <c r="Y10" t="s">
        <v>44</v>
      </c>
      <c r="Z10">
        <v>1</v>
      </c>
      <c r="AA10">
        <v>1</v>
      </c>
      <c r="AB10" s="2">
        <v>3.4104801035224015E-2</v>
      </c>
      <c r="AC10">
        <v>71396.262733846626</v>
      </c>
      <c r="AD10">
        <v>104695.28857859255</v>
      </c>
      <c r="AE10">
        <v>1.4663973234688648</v>
      </c>
      <c r="AF10" t="s">
        <v>60</v>
      </c>
      <c r="AG10" s="13">
        <v>0.44577537196025901</v>
      </c>
      <c r="AH10" s="13">
        <v>0.44577537196025857</v>
      </c>
    </row>
    <row r="11" spans="1:37" ht="15.75" thickBot="1" x14ac:dyDescent="0.3">
      <c r="A11" t="s">
        <v>1</v>
      </c>
      <c r="B11" s="1">
        <v>0.14327281753364032</v>
      </c>
      <c r="C11" s="1">
        <v>0.31619298943101948</v>
      </c>
      <c r="D11" s="1">
        <v>0.27744372045712712</v>
      </c>
      <c r="E11" t="s">
        <v>15</v>
      </c>
      <c r="F11" t="s">
        <v>14</v>
      </c>
      <c r="G11" t="s">
        <v>14</v>
      </c>
      <c r="H11">
        <v>12716709585</v>
      </c>
      <c r="I11">
        <v>7738095460</v>
      </c>
      <c r="J11">
        <v>8660599840</v>
      </c>
      <c r="K11">
        <v>1821958812</v>
      </c>
      <c r="L11">
        <v>2446731536</v>
      </c>
      <c r="M11">
        <v>2402829041</v>
      </c>
      <c r="N11">
        <f t="shared" si="0"/>
        <v>2223839796.3333335</v>
      </c>
      <c r="O11">
        <f t="shared" si="1"/>
        <v>9705134961.666666</v>
      </c>
      <c r="P11" s="2">
        <v>0.22914053283308827</v>
      </c>
      <c r="Q11" t="s">
        <v>15</v>
      </c>
      <c r="R11" s="11">
        <f t="shared" si="2"/>
        <v>3.4611879847219145</v>
      </c>
      <c r="S11" s="2">
        <f t="shared" si="3"/>
        <v>1.7335947262982994</v>
      </c>
      <c r="T11" s="4">
        <v>4.3600000000000003</v>
      </c>
      <c r="U11" s="4">
        <v>6.08</v>
      </c>
      <c r="V11" s="6">
        <v>9.8500000000000004E-2</v>
      </c>
      <c r="W11" s="6">
        <v>0.13389999999999999</v>
      </c>
      <c r="X11" s="8">
        <v>0.40100000000000002</v>
      </c>
      <c r="Y11" t="s">
        <v>46</v>
      </c>
      <c r="Z11">
        <v>5</v>
      </c>
      <c r="AA11">
        <v>3</v>
      </c>
      <c r="AB11" s="2">
        <v>6.3695191117507571E-2</v>
      </c>
      <c r="AC11">
        <v>107419.51696336361</v>
      </c>
      <c r="AD11">
        <v>409139.2680018993</v>
      </c>
      <c r="AE11">
        <v>3.8087982479146683</v>
      </c>
      <c r="AF11" t="s">
        <v>61</v>
      </c>
      <c r="AG11" s="13">
        <v>0.58469273078460504</v>
      </c>
      <c r="AH11" s="13">
        <v>0.58469273078460537</v>
      </c>
      <c r="AK11" s="13"/>
    </row>
    <row r="12" spans="1:37" ht="15.75" thickBot="1" x14ac:dyDescent="0.3">
      <c r="A12" t="s">
        <v>24</v>
      </c>
      <c r="B12" s="1">
        <v>0.26347914844791814</v>
      </c>
      <c r="C12" s="1">
        <v>0.35853481905383944</v>
      </c>
      <c r="D12" s="1">
        <v>0.57230891167874176</v>
      </c>
      <c r="E12" t="s">
        <v>14</v>
      </c>
      <c r="F12" t="s">
        <v>14</v>
      </c>
      <c r="G12" t="s">
        <v>16</v>
      </c>
      <c r="H12">
        <v>4099779631</v>
      </c>
      <c r="I12">
        <v>3635604663</v>
      </c>
      <c r="J12">
        <v>4135410630</v>
      </c>
      <c r="K12">
        <v>1080206446</v>
      </c>
      <c r="L12">
        <v>1303490860</v>
      </c>
      <c r="M12">
        <v>2366732357</v>
      </c>
      <c r="N12">
        <f t="shared" si="0"/>
        <v>1583476554.3333333</v>
      </c>
      <c r="O12">
        <f t="shared" si="1"/>
        <v>3956931641.3333335</v>
      </c>
      <c r="P12" s="2">
        <v>0.40017788980548641</v>
      </c>
      <c r="Q12" t="s">
        <v>35</v>
      </c>
      <c r="R12" s="11">
        <f t="shared" si="2"/>
        <v>1.411179165199052</v>
      </c>
      <c r="S12" s="2">
        <f t="shared" si="3"/>
        <v>1.2343994420530653</v>
      </c>
      <c r="T12" s="4">
        <v>3.04</v>
      </c>
      <c r="U12" s="4">
        <v>5.66</v>
      </c>
      <c r="V12" s="6">
        <v>4.2900000000000001E-2</v>
      </c>
      <c r="W12" s="6">
        <v>0.1113</v>
      </c>
      <c r="X12" s="8">
        <v>0.65600000000000003</v>
      </c>
      <c r="Y12" t="s">
        <v>46</v>
      </c>
      <c r="Z12">
        <v>5</v>
      </c>
      <c r="AA12">
        <v>6</v>
      </c>
      <c r="AB12" s="2">
        <v>2.7355085060443401E-2</v>
      </c>
      <c r="AC12">
        <v>272921.69567503233</v>
      </c>
      <c r="AD12">
        <v>728292.01135808497</v>
      </c>
      <c r="AE12">
        <v>2.6685017090955707</v>
      </c>
      <c r="AF12" t="s">
        <v>59</v>
      </c>
      <c r="AG12" s="13">
        <v>0.54706980050919241</v>
      </c>
      <c r="AH12" s="13">
        <v>0.50207329446443016</v>
      </c>
    </row>
    <row r="13" spans="1:37" ht="15.75" thickBot="1" x14ac:dyDescent="0.3">
      <c r="A13" t="s">
        <v>2</v>
      </c>
      <c r="B13" s="1">
        <v>0.24061718451183395</v>
      </c>
      <c r="C13" s="1">
        <v>0.35352725936762891</v>
      </c>
      <c r="D13" s="1">
        <v>0.40904599881166126</v>
      </c>
      <c r="E13" t="s">
        <v>15</v>
      </c>
      <c r="F13" t="s">
        <v>14</v>
      </c>
      <c r="G13" t="s">
        <v>14</v>
      </c>
      <c r="H13">
        <v>5524874417</v>
      </c>
      <c r="I13">
        <v>5616301067</v>
      </c>
      <c r="J13">
        <v>5344800879</v>
      </c>
      <c r="K13">
        <v>1329379727</v>
      </c>
      <c r="L13">
        <v>1985515524</v>
      </c>
      <c r="M13">
        <v>2186269414</v>
      </c>
      <c r="N13">
        <f t="shared" si="0"/>
        <v>1833721555</v>
      </c>
      <c r="O13">
        <f t="shared" si="1"/>
        <v>5495325454.333333</v>
      </c>
      <c r="P13" s="2">
        <v>0.33368752592333195</v>
      </c>
      <c r="Q13" t="s">
        <v>35</v>
      </c>
      <c r="R13" s="11">
        <f t="shared" si="2"/>
        <v>1.9598237953208903</v>
      </c>
      <c r="S13" s="2">
        <f t="shared" si="3"/>
        <v>1.4294779788044696</v>
      </c>
      <c r="T13" s="4">
        <v>4.9400000000000004</v>
      </c>
      <c r="U13" s="4">
        <v>6.31</v>
      </c>
      <c r="V13" s="6">
        <v>8.2199999999999995E-2</v>
      </c>
      <c r="W13" s="6">
        <v>0.114</v>
      </c>
      <c r="X13" s="8">
        <v>0.61899999999999999</v>
      </c>
      <c r="Y13" t="s">
        <v>44</v>
      </c>
      <c r="Z13">
        <v>5</v>
      </c>
      <c r="AA13">
        <v>6</v>
      </c>
      <c r="AB13" s="2">
        <v>4.9114053640750686E-2</v>
      </c>
      <c r="AC13">
        <v>249754.50629670822</v>
      </c>
      <c r="AD13">
        <v>478749.94720007037</v>
      </c>
      <c r="AE13">
        <v>1.916882118760715</v>
      </c>
      <c r="AF13" t="s">
        <v>58</v>
      </c>
      <c r="AG13" s="13">
        <v>0.43084371587772341</v>
      </c>
      <c r="AH13" s="13">
        <v>0.4272801452516069</v>
      </c>
    </row>
    <row r="14" spans="1:37" ht="15.75" thickBot="1" x14ac:dyDescent="0.3">
      <c r="A14" t="s">
        <v>4</v>
      </c>
      <c r="B14" s="1">
        <v>0.27614818938072466</v>
      </c>
      <c r="C14" s="1">
        <v>0.35746804741619226</v>
      </c>
      <c r="D14" s="1">
        <v>0.2747958971820611</v>
      </c>
      <c r="E14" t="s">
        <v>14</v>
      </c>
      <c r="F14" t="s">
        <v>14</v>
      </c>
      <c r="G14" t="s">
        <v>14</v>
      </c>
      <c r="H14">
        <v>10791079227</v>
      </c>
      <c r="I14">
        <v>8968587305</v>
      </c>
      <c r="J14">
        <v>18830917372</v>
      </c>
      <c r="K14">
        <v>2979936990</v>
      </c>
      <c r="L14">
        <v>3205983392</v>
      </c>
      <c r="M14">
        <v>5174658834</v>
      </c>
      <c r="N14">
        <f t="shared" si="0"/>
        <v>3786859738.6666665</v>
      </c>
      <c r="O14">
        <f t="shared" si="1"/>
        <v>12863527968</v>
      </c>
      <c r="P14" s="2">
        <v>0.29438733666899636</v>
      </c>
      <c r="Q14" t="s">
        <v>35</v>
      </c>
      <c r="R14" s="11">
        <f>O14/$O$15</f>
        <v>4.5875805560492626</v>
      </c>
      <c r="S14" s="2">
        <f t="shared" si="3"/>
        <v>2.9520472126670554</v>
      </c>
      <c r="T14" s="4">
        <v>12.49</v>
      </c>
      <c r="U14" s="4">
        <v>7.93</v>
      </c>
      <c r="V14" s="6">
        <v>0.2626</v>
      </c>
      <c r="W14" s="6">
        <v>0.13919999999999999</v>
      </c>
      <c r="X14" s="8">
        <v>0.34100000000000003</v>
      </c>
      <c r="Y14" t="s">
        <v>45</v>
      </c>
      <c r="Z14">
        <v>6</v>
      </c>
      <c r="AA14">
        <v>3</v>
      </c>
      <c r="AB14" s="2">
        <v>0.13952868998204837</v>
      </c>
      <c r="AC14">
        <v>332504.69045482395</v>
      </c>
      <c r="AD14">
        <v>1166761.9442403135</v>
      </c>
      <c r="AE14">
        <v>3.5090089786232253</v>
      </c>
      <c r="AF14" t="s">
        <v>55</v>
      </c>
      <c r="AG14" s="13">
        <v>0.61715681356955199</v>
      </c>
      <c r="AH14" s="13">
        <v>0.61715681356955232</v>
      </c>
    </row>
    <row r="15" spans="1:37" ht="15.75" thickBot="1" x14ac:dyDescent="0.3">
      <c r="A15" t="s">
        <v>5</v>
      </c>
      <c r="B15" s="1">
        <v>0.48278599521907456</v>
      </c>
      <c r="C15" s="1">
        <v>0.47578429066334677</v>
      </c>
      <c r="D15" s="1">
        <v>0.43150665374900049</v>
      </c>
      <c r="E15" t="s">
        <v>14</v>
      </c>
      <c r="F15" t="s">
        <v>14</v>
      </c>
      <c r="G15" t="s">
        <v>14</v>
      </c>
      <c r="H15">
        <v>2399687291</v>
      </c>
      <c r="I15">
        <v>2156806818</v>
      </c>
      <c r="J15">
        <v>3855474560</v>
      </c>
      <c r="K15">
        <v>1158535417</v>
      </c>
      <c r="L15">
        <v>1026174802</v>
      </c>
      <c r="M15">
        <v>1663662926</v>
      </c>
      <c r="N15">
        <f t="shared" si="0"/>
        <v>1282791048.3333333</v>
      </c>
      <c r="O15">
        <f t="shared" si="1"/>
        <v>2803989556.3333335</v>
      </c>
      <c r="P15" s="2">
        <v>0.45748781247630199</v>
      </c>
      <c r="Q15" t="s">
        <v>35</v>
      </c>
      <c r="R15" s="11">
        <f t="shared" si="2"/>
        <v>1</v>
      </c>
      <c r="S15" s="2">
        <f t="shared" si="3"/>
        <v>1</v>
      </c>
      <c r="T15" s="4">
        <v>3.31</v>
      </c>
      <c r="U15" s="4">
        <v>6.16</v>
      </c>
      <c r="V15" s="6">
        <v>7.1999999999999995E-2</v>
      </c>
      <c r="W15" s="6">
        <v>0.1095</v>
      </c>
      <c r="X15" s="8">
        <v>0.51100000000000001</v>
      </c>
      <c r="Y15" t="s">
        <v>46</v>
      </c>
      <c r="Z15">
        <v>5</v>
      </c>
      <c r="AA15">
        <v>6</v>
      </c>
      <c r="AB15" s="2">
        <v>3.8606693638591406E-2</v>
      </c>
      <c r="AC15">
        <v>120684.78867318504</v>
      </c>
      <c r="AD15">
        <v>356998.01134458464</v>
      </c>
      <c r="AE15">
        <v>2.9581028004393897</v>
      </c>
      <c r="AF15" t="s">
        <v>59</v>
      </c>
      <c r="AG15" s="13">
        <v>0.54706980050919241</v>
      </c>
      <c r="AH15" s="13">
        <v>0.69937398661217343</v>
      </c>
    </row>
    <row r="17" spans="34:34" x14ac:dyDescent="0.25">
      <c r="AH17" s="13"/>
    </row>
  </sheetData>
  <autoFilter ref="AF1:AF15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2995-3A77-4985-B9BF-2DC9EA9B3F29}">
  <dimension ref="A1:E14"/>
  <sheetViews>
    <sheetView workbookViewId="0">
      <selection activeCell="E1" sqref="E1"/>
    </sheetView>
  </sheetViews>
  <sheetFormatPr baseColWidth="10" defaultColWidth="10.85546875" defaultRowHeight="15" x14ac:dyDescent="0.25"/>
  <cols>
    <col min="1" max="1" width="13.28515625" bestFit="1" customWidth="1"/>
  </cols>
  <sheetData>
    <row r="1" spans="1:5" ht="15.75" thickBot="1" x14ac:dyDescent="0.3">
      <c r="A1" t="s">
        <v>6</v>
      </c>
      <c r="B1" s="4">
        <v>4.17</v>
      </c>
      <c r="C1" s="4">
        <v>1.79</v>
      </c>
      <c r="D1" s="6">
        <v>3.7100000000000001E-2</v>
      </c>
      <c r="E1" s="6">
        <v>3.4500000000000003E-2</v>
      </c>
    </row>
    <row r="2" spans="1:5" ht="15.75" thickBot="1" x14ac:dyDescent="0.3">
      <c r="A2" t="s">
        <v>17</v>
      </c>
      <c r="B2" s="4">
        <v>4.66</v>
      </c>
      <c r="C2" s="4">
        <v>6.49</v>
      </c>
      <c r="D2" s="6">
        <v>9.5500000000000002E-2</v>
      </c>
      <c r="E2" s="6">
        <v>0.13489999999999999</v>
      </c>
    </row>
    <row r="3" spans="1:5" ht="15.75" thickBot="1" x14ac:dyDescent="0.3">
      <c r="A3" t="s">
        <v>18</v>
      </c>
      <c r="B3" s="4">
        <v>3.41</v>
      </c>
      <c r="C3" s="4">
        <v>4.78</v>
      </c>
      <c r="D3" s="6">
        <v>5.3800000000000001E-2</v>
      </c>
      <c r="E3" s="6">
        <v>9.7000000000000003E-2</v>
      </c>
    </row>
    <row r="4" spans="1:5" ht="15.75" thickBot="1" x14ac:dyDescent="0.3">
      <c r="A4" t="s">
        <v>19</v>
      </c>
      <c r="B4" s="4">
        <v>1.7</v>
      </c>
      <c r="C4" s="4">
        <v>1.54</v>
      </c>
      <c r="D4" s="6">
        <v>2.75E-2</v>
      </c>
      <c r="E4" s="6">
        <v>3.0300000000000001E-2</v>
      </c>
    </row>
    <row r="5" spans="1:5" ht="15.75" thickBot="1" x14ac:dyDescent="0.3">
      <c r="A5" t="s">
        <v>3</v>
      </c>
      <c r="B5" s="4">
        <v>1.7</v>
      </c>
      <c r="C5" s="4">
        <v>1.54</v>
      </c>
      <c r="D5" s="6">
        <v>2.75E-2</v>
      </c>
      <c r="E5" s="6">
        <v>3.0300000000000001E-2</v>
      </c>
    </row>
    <row r="6" spans="1:5" ht="15.75" thickBot="1" x14ac:dyDescent="0.3">
      <c r="A6" t="s">
        <v>20</v>
      </c>
      <c r="B6" s="4">
        <v>4.9400000000000004</v>
      </c>
      <c r="C6" s="4">
        <v>6.31</v>
      </c>
      <c r="D6" s="6">
        <v>8.2199999999999995E-2</v>
      </c>
      <c r="E6" s="6">
        <v>0.114</v>
      </c>
    </row>
    <row r="7" spans="1:5" ht="15.75" thickBot="1" x14ac:dyDescent="0.3">
      <c r="A7" t="s">
        <v>21</v>
      </c>
      <c r="B7" s="4">
        <v>3.04</v>
      </c>
      <c r="C7" s="4">
        <v>5.66</v>
      </c>
      <c r="D7" s="6">
        <v>4.2900000000000001E-2</v>
      </c>
      <c r="E7" s="6">
        <v>0.1113</v>
      </c>
    </row>
    <row r="8" spans="1:5" ht="15.75" thickBot="1" x14ac:dyDescent="0.3">
      <c r="A8" t="s">
        <v>22</v>
      </c>
      <c r="B8" s="4">
        <v>5.71</v>
      </c>
      <c r="C8" s="4">
        <v>8.65</v>
      </c>
      <c r="D8" s="6">
        <v>0.13819999999999999</v>
      </c>
      <c r="E8" s="6">
        <v>0.17829999999999999</v>
      </c>
    </row>
    <row r="9" spans="1:5" ht="15.75" thickBot="1" x14ac:dyDescent="0.3">
      <c r="A9" t="s">
        <v>23</v>
      </c>
      <c r="B9" s="4">
        <v>2.99</v>
      </c>
      <c r="C9" s="4">
        <v>4.5599999999999996</v>
      </c>
      <c r="D9" s="6">
        <v>4.1000000000000002E-2</v>
      </c>
      <c r="E9" s="6">
        <v>0.1033</v>
      </c>
    </row>
    <row r="10" spans="1:5" ht="15.75" thickBot="1" x14ac:dyDescent="0.3">
      <c r="A10" t="s">
        <v>1</v>
      </c>
      <c r="B10" s="4">
        <v>4.3600000000000003</v>
      </c>
      <c r="C10" s="4">
        <v>6.08</v>
      </c>
      <c r="D10" s="6">
        <v>9.8500000000000004E-2</v>
      </c>
      <c r="E10" s="6">
        <v>0.13389999999999999</v>
      </c>
    </row>
    <row r="11" spans="1:5" ht="15.75" thickBot="1" x14ac:dyDescent="0.3">
      <c r="A11" t="s">
        <v>24</v>
      </c>
      <c r="B11" s="4">
        <v>3.04</v>
      </c>
      <c r="C11" s="4">
        <v>5.66</v>
      </c>
      <c r="D11" s="6">
        <v>4.2900000000000001E-2</v>
      </c>
      <c r="E11" s="6">
        <v>0.1113</v>
      </c>
    </row>
    <row r="12" spans="1:5" ht="15.75" thickBot="1" x14ac:dyDescent="0.3">
      <c r="A12" t="s">
        <v>2</v>
      </c>
      <c r="B12" s="4">
        <v>4.9400000000000004</v>
      </c>
      <c r="C12" s="4">
        <v>6.31</v>
      </c>
      <c r="D12" s="6">
        <v>8.2199999999999995E-2</v>
      </c>
      <c r="E12" s="6">
        <v>0.114</v>
      </c>
    </row>
    <row r="13" spans="1:5" ht="15.75" thickBot="1" x14ac:dyDescent="0.3">
      <c r="A13" t="s">
        <v>4</v>
      </c>
      <c r="B13" s="4">
        <v>12.49</v>
      </c>
      <c r="C13" s="4">
        <v>7.93</v>
      </c>
      <c r="D13" s="6">
        <v>0.2626</v>
      </c>
      <c r="E13" s="6">
        <v>0.13919999999999999</v>
      </c>
    </row>
    <row r="14" spans="1:5" ht="15.75" thickBot="1" x14ac:dyDescent="0.3">
      <c r="A14" t="s">
        <v>5</v>
      </c>
      <c r="B14" s="4">
        <v>3.31</v>
      </c>
      <c r="C14" s="4">
        <v>6.16</v>
      </c>
      <c r="D14" s="6">
        <v>7.1999999999999995E-2</v>
      </c>
      <c r="E14" s="6">
        <v>0.1095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Pape Mamadou Badji</cp:lastModifiedBy>
  <dcterms:created xsi:type="dcterms:W3CDTF">2022-10-03T13:18:33Z</dcterms:created>
  <dcterms:modified xsi:type="dcterms:W3CDTF">2025-09-19T12:06:40Z</dcterms:modified>
</cp:coreProperties>
</file>